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09f24eedb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eb1297d0fa34e0b"/>
    <x:sheet xmlns:r="http://schemas.openxmlformats.org/officeDocument/2006/relationships" name="Appliance Data" sheetId="2" r:id="R8b3dc69c534145bd"/>
    <x:sheet xmlns:r="http://schemas.openxmlformats.org/officeDocument/2006/relationships" name="Dashboard" sheetId="3" r:id="Ree1955692085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₱#,##0.00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i/>
      <x:sz val="11"/>
      <x:color rgb="7F6000"/>
      <x:name val="Carlito"/>
    </x:font>
    <x:font>
      <x:b/>
      <x:sz val="11"/>
      <x:color rgb="FFFFFF"/>
      <x:name val="Carlito"/>
    </x:font>
    <x:font>
      <x:b/>
      <x:sz val="12"/>
      <x:color rgb="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  <x:fill>
      <x:patternFill patternType="solid">
        <x:fgColor rgb="F4F9F1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92039a00d40ba" /><Relationship Type="http://schemas.openxmlformats.org/officeDocument/2006/relationships/theme" Target="/xl/theme/theme1.xml" Id="R70ed4b26351244b1" /><Relationship Type="http://schemas.openxmlformats.org/officeDocument/2006/relationships/sharedStrings" Target="/xl/sharedStrings.xml" Id="Rd53fbeb388564e21" /><Relationship Type="http://schemas.openxmlformats.org/officeDocument/2006/relationships/worksheet" Target="/xl/worksheets/sheet1.xml" Id="Raeb1297d0fa34e0b" /><Relationship Type="http://schemas.openxmlformats.org/officeDocument/2006/relationships/worksheet" Target="/xl/worksheets/sheet2.xml" Id="R8b3dc69c534145bd" /><Relationship Type="http://schemas.openxmlformats.org/officeDocument/2006/relationships/worksheet" Target="/xl/worksheets/sheet3.xml" Id="Ree19556920854b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303580ed2141d2" /><Relationship Type="http://schemas.openxmlformats.org/officeDocument/2006/relationships/chart" Target="/xl/drawings/charts/chart2.xml" Id="Rd75a3ecce9a04e7a" /><Relationship Type="http://schemas.openxmlformats.org/officeDocument/2006/relationships/chart" Target="/xl/drawings/charts/chart3.xml" Id="R521ac83e890542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kWh by Appliance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Monthly kWh</c:v>
          </c:tx>
          <c:cat>
            <c:strRef>
              <c:f>'Dashboard'!$D$4:$D$13</c:f>
              <c:strCache>
                <c:ptCount val="0"/>
              </c:strCache>
            </c:strRef>
          </c:cat>
          <c:val>
            <c:numRef>
              <c:f>'Dashboard'!$E$4:$E$13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Monthly Cost by Appliance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Monthly kWh</c:v>
          </c:tx>
          <c:cat>
            <c:strRef>
              <c:f>'Dashboard'!$D$4:$D$13</c:f>
              <c:strCache>
                <c:ptCount val="0"/>
              </c:strCache>
            </c:strRef>
          </c:cat>
          <c:val>
            <c:numRef>
              <c:f>'Dashboard'!$E$4:$E$13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Monthly Cost</c:v>
          </c:tx>
          <c:cat>
            <c:strRef>
              <c:f>'Dashboard'!$D$4:$D$13</c:f>
              <c:strCache>
                <c:ptCount val="0"/>
              </c:strCache>
            </c:strRef>
          </c:cat>
          <c:val>
            <c:numRef>
              <c:f>'Dashboard'!$F$4:$F$13</c:f>
              <c:numCache>
                <c:formatCode>₱#,##0.00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Cost by Category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Monthly kWh</c:v>
          </c:tx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'Dashboard'!$B$16:$B$21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Monthly Cost</c:v>
          </c:tx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'Dashboard'!$C$16:$C$21</c:f>
              <c:numCache>
                <c:formatCode>₱#,##0.00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303580ed2141d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a3ecce9a04e7a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1ac83e890542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lianceTable" displayName="ApplianceTable" ref="A1:I11" headerRowCount="1">
  <x:tableColumns count="9">
    <x:tableColumn id="1" name="Appliance"/>
    <x:tableColumn id="2" name="Category"/>
    <x:tableColumn id="3" name="Quantity"/>
    <x:tableColumn id="4" name="Wattage"/>
    <x:tableColumn id="5" name="Hours/Day"/>
    <x:tableColumn id="6" name="Days/Month"/>
    <x:tableColumn id="7" name="Monthly kWh"/>
    <x:tableColumn id="8" name="Estimated Monthly Cost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6ed4e1f38f4b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9afd6ad3ce04db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0.05000000074505806" hidden="0" customWidth="1"/>
    <x:col min="4" max="4" width="0.05000000074505806" hidden="0" customWidth="1"/>
    <x:col min="5" max="5" width="0.05000000074505806" hidden="0" customWidth="1"/>
    <x:col min="6" max="6" width="0.05000000074505806" hidden="0" customWidth="1"/>
  </x:cols>
  <x:sheetData>
    <x:row r="1" ht="24" hidden="0" customHeight="1">
      <x:c r="A1" s="4" t="str">
        <x:v>Kuryentell Portfolio Project – Household Energy Dashboard</x:v>
      </x:c>
      <x:c r="B1" s="4"/>
      <x:c r="C1" s="4"/>
      <x:c r="D1" s="4"/>
      <x:c r="E1" s="4"/>
      <x:c r="F1" s="4"/>
    </x:row>
    <x:row r="3" ht="17.08984375" hidden="0" customHeight="1">
      <x:c r="A3" s="8" t="str">
        <x:v>Project Inputs</x:v>
      </x:c>
      <x:c r="B3" s="8" t="str"/>
    </x:row>
    <x:row r="4" ht="17.08984375" hidden="0" customHeight="1">
      <x:c r="A4" s="8" t="str">
        <x:v>Currency</x:v>
      </x:c>
      <x:c r="B4" t="str">
        <x:v>PHP</x:v>
      </x:c>
    </x:row>
    <x:row r="5" ht="17.08984375" hidden="0" customHeight="1">
      <x:c r="A5" s="8" t="str">
        <x:v>Electricity Rate per kWh</x:v>
      </x:c>
      <x:c r="B5" s="9" t="n">
        <x:v>11.5</x:v>
      </x:c>
    </x:row>
    <x:row r="6" ht="17.08984375" hidden="0" customHeight="1">
      <x:c r="A6" s="8" t="str">
        <x:v>Household Name</x:v>
      </x:c>
      <x:c r="B6" t="str">
        <x:v>Sample Household</x:v>
      </x:c>
    </x:row>
    <x:row r="7" ht="17.08984375" hidden="0" customHeight="1">
      <x:c r="A7" s="8" t="str">
        <x:v>Analysis Period</x:v>
      </x:c>
      <x:c r="B7" t="str">
        <x:v>Monthly</x:v>
      </x:c>
    </x:row>
    <x:row r="8" ht="17.08984375" hidden="0" customHeight="1">
      <x:c r="A8" s="8" t="str">
        <x:v>Prepared By</x:v>
      </x:c>
      <x:c r="B8" t="str">
        <x:v>Stephen M. Zoleta</x:v>
      </x:c>
    </x:row>
    <x:row r="10" ht="17.08984375" hidden="0" customHeight="1">
      <x:c r="A10" s="8" t="str">
        <x:v>How to Use</x:v>
      </x:c>
      <x:c r="B10" t="str"/>
      <x:c r="C10" t="str"/>
      <x:c r="D10" t="str"/>
      <x:c r="E10" t="str"/>
      <x:c r="F10" t="str"/>
    </x:row>
    <x:row r="11" ht="17.08984375" hidden="0" customHeight="1">
      <x:c r="A11" s="12" t="str">
        <x:v>1. Update the electricity rate in B5.</x:v>
      </x:c>
      <x:c r="B11" s="12" t="str"/>
      <x:c r="C11" s="12" t="str"/>
      <x:c r="D11" s="12" t="str"/>
      <x:c r="E11" s="12" t="str"/>
      <x:c r="F11" s="12" t="str"/>
    </x:row>
    <x:row r="12" ht="17.08984375" hidden="0" customHeight="1">
      <x:c r="A12" s="12" t="str">
        <x:v>2. Edit the appliance list, wattage, hours/day, and days/month in the Appliance Data sheet.</x:v>
      </x:c>
      <x:c r="B12" s="12" t="str"/>
      <x:c r="C12" s="12" t="str"/>
      <x:c r="D12" s="12" t="str"/>
      <x:c r="E12" s="12" t="str"/>
      <x:c r="F12" s="12" t="str"/>
    </x:row>
    <x:row r="13" ht="17.08984375" hidden="0" customHeight="1">
      <x:c r="A13" s="12" t="str">
        <x:v>3. The dashboard updates monthly kWh and estimated cost automatically.</x:v>
      </x:c>
      <x:c r="B13" s="12" t="str"/>
      <x:c r="C13" s="12" t="str"/>
      <x:c r="D13" s="12" t="str"/>
      <x:c r="E13" s="12" t="str"/>
      <x:c r="F13" s="12" t="str"/>
    </x:row>
  </x:sheetData>
  <x:mergeCells>
    <x:mergeCell ref="A1:F1"/>
    <x:mergeCell ref="A3:B3"/>
    <x:mergeCell ref="A10:F10"/>
    <x:mergeCell ref="A11:F13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17.08984375" hidden="0" customHeight="1">
      <x:c r="A1" s="16" t="str">
        <x:v>Appliance</x:v>
      </x:c>
      <x:c r="B1" s="16" t="str">
        <x:v>Category</x:v>
      </x:c>
      <x:c r="C1" s="16" t="str">
        <x:v>Quantity</x:v>
      </x:c>
      <x:c r="D1" s="16" t="str">
        <x:v>Wattage</x:v>
      </x:c>
      <x:c r="E1" s="16" t="str">
        <x:v>Hours/Day</x:v>
      </x:c>
      <x:c r="F1" s="16" t="str">
        <x:v>Days/Month</x:v>
      </x:c>
      <x:c r="G1" s="16" t="str">
        <x:v>Monthly kWh</x:v>
      </x:c>
      <x:c r="H1" s="16" t="str">
        <x:v>Estimated Monthly Cost</x:v>
      </x:c>
      <x:c r="I1" s="16" t="str">
        <x:v>Notes</x:v>
      </x:c>
    </x:row>
    <x:row r="2" ht="17.08984375" hidden="0" customHeight="1">
      <x:c r="A2" t="str">
        <x:v>Air Conditioner</x:v>
      </x:c>
      <x:c r="B2" t="str">
        <x:v>Cooling</x:v>
      </x:c>
      <x:c r="C2" s="9" t="n">
        <x:v>1</x:v>
      </x:c>
      <x:c r="D2" s="9" t="n">
        <x:v>1200</x:v>
      </x:c>
      <x:c r="E2" s="9" t="n">
        <x:v>8</x:v>
      </x:c>
      <x:c r="F2" s="9" t="n">
        <x:v>30</x:v>
      </x:c>
      <x:c r="G2" s="9" t="n">
        <x:f>ROUND((C2*D2*E2*F2)/1000,2)</x:f>
        <x:v>288</x:v>
      </x:c>
      <x:c r="H2" s="17" t="n">
        <x:f>ROUND(G2*Inputs!$B$5,2)</x:f>
        <x:v>3312</x:v>
      </x:c>
      <x:c r="I2" t="str">
        <x:v>Bedroom unit</x:v>
      </x:c>
    </x:row>
    <x:row r="3" ht="17.08984375" hidden="0" customHeight="1">
      <x:c r="A3" t="str">
        <x:v>Refrigerator</x:v>
      </x:c>
      <x:c r="B3" t="str">
        <x:v>Kitchen</x:v>
      </x:c>
      <x:c r="C3" s="9" t="n">
        <x:v>1</x:v>
      </x:c>
      <x:c r="D3" s="9" t="n">
        <x:v>150</x:v>
      </x:c>
      <x:c r="E3" s="9" t="n">
        <x:v>24</x:v>
      </x:c>
      <x:c r="F3" s="9" t="n">
        <x:v>30</x:v>
      </x:c>
      <x:c r="G3" s="9" t="n">
        <x:f>ROUND((C3*D3*E3*F3)/1000,2)</x:f>
        <x:v>108</x:v>
      </x:c>
      <x:c r="H3" s="17" t="n">
        <x:f>ROUND(G3*Inputs!$B$5,2)</x:f>
        <x:v>1242</x:v>
      </x:c>
      <x:c r="I3" t="str">
        <x:v>Runs all day</x:v>
      </x:c>
    </x:row>
    <x:row r="4" ht="17.08984375" hidden="0" customHeight="1">
      <x:c r="A4" t="str">
        <x:v>Electric Fan</x:v>
      </x:c>
      <x:c r="B4" t="str">
        <x:v>Cooling</x:v>
      </x:c>
      <x:c r="C4" s="9" t="n">
        <x:v>3</x:v>
      </x:c>
      <x:c r="D4" s="9" t="n">
        <x:v>75</x:v>
      </x:c>
      <x:c r="E4" s="9" t="n">
        <x:v>10</x:v>
      </x:c>
      <x:c r="F4" s="9" t="n">
        <x:v>30</x:v>
      </x:c>
      <x:c r="G4" s="9" t="n">
        <x:f>ROUND((C4*D4*E4*F4)/1000,2)</x:f>
        <x:v>67.5</x:v>
      </x:c>
      <x:c r="H4" s="17" t="n">
        <x:f>ROUND(G4*Inputs!$B$5,2)</x:f>
        <x:v>776.25</x:v>
      </x:c>
      <x:c r="I4" t="str">
        <x:v>Three fans</x:v>
      </x:c>
    </x:row>
    <x:row r="5" ht="17.08984375" hidden="0" customHeight="1">
      <x:c r="A5" t="str">
        <x:v>Rice Cooker</x:v>
      </x:c>
      <x:c r="B5" t="str">
        <x:v>Kitchen</x:v>
      </x:c>
      <x:c r="C5" s="9" t="n">
        <x:v>1</x:v>
      </x:c>
      <x:c r="D5" s="9" t="n">
        <x:v>700</x:v>
      </x:c>
      <x:c r="E5" s="9" t="n">
        <x:v>1</x:v>
      </x:c>
      <x:c r="F5" s="9" t="n">
        <x:v>30</x:v>
      </x:c>
      <x:c r="G5" s="9" t="n">
        <x:f>ROUND((C5*D5*E5*F5)/1000,2)</x:f>
        <x:v>21</x:v>
      </x:c>
      <x:c r="H5" s="17" t="n">
        <x:f>ROUND(G5*Inputs!$B$5,2)</x:f>
        <x:v>241.5</x:v>
      </x:c>
      <x:c r="I5" t="str">
        <x:v>Daily use</x:v>
      </x:c>
    </x:row>
    <x:row r="6" ht="17.08984375" hidden="0" customHeight="1">
      <x:c r="A6" t="str">
        <x:v>Television</x:v>
      </x:c>
      <x:c r="B6" t="str">
        <x:v>Entertainment</x:v>
      </x:c>
      <x:c r="C6" s="9" t="n">
        <x:v>1</x:v>
      </x:c>
      <x:c r="D6" s="9" t="n">
        <x:v>120</x:v>
      </x:c>
      <x:c r="E6" s="9" t="n">
        <x:v>5</x:v>
      </x:c>
      <x:c r="F6" s="9" t="n">
        <x:v>30</x:v>
      </x:c>
      <x:c r="G6" s="9" t="n">
        <x:f>ROUND((C6*D6*E6*F6)/1000,2)</x:f>
        <x:v>18</x:v>
      </x:c>
      <x:c r="H6" s="17" t="n">
        <x:f>ROUND(G6*Inputs!$B$5,2)</x:f>
        <x:v>207</x:v>
      </x:c>
      <x:c r="I6" t="str">
        <x:v>Living room</x:v>
      </x:c>
    </x:row>
    <x:row r="7" ht="17.08984375" hidden="0" customHeight="1">
      <x:c r="A7" t="str">
        <x:v>Laptop</x:v>
      </x:c>
      <x:c r="B7" t="str">
        <x:v>Work/Study</x:v>
      </x:c>
      <x:c r="C7" s="9" t="n">
        <x:v>2</x:v>
      </x:c>
      <x:c r="D7" s="9" t="n">
        <x:v>65</x:v>
      </x:c>
      <x:c r="E7" s="9" t="n">
        <x:v>6</x:v>
      </x:c>
      <x:c r="F7" s="9" t="n">
        <x:v>30</x:v>
      </x:c>
      <x:c r="G7" s="9" t="n">
        <x:f>ROUND((C7*D7*E7*F7)/1000,2)</x:f>
        <x:v>23.4</x:v>
      </x:c>
      <x:c r="H7" s="17" t="n">
        <x:f>ROUND(G7*Inputs!$B$5,2)</x:f>
        <x:v>269.1</x:v>
      </x:c>
      <x:c r="I7" t="str">
        <x:v>Two devices</x:v>
      </x:c>
    </x:row>
    <x:row r="8" ht="17.08984375" hidden="0" customHeight="1">
      <x:c r="A8" t="str">
        <x:v>Wi-Fi Router</x:v>
      </x:c>
      <x:c r="B8" t="str">
        <x:v>Work/Study</x:v>
      </x:c>
      <x:c r="C8" s="9" t="n">
        <x:v>1</x:v>
      </x:c>
      <x:c r="D8" s="9" t="n">
        <x:v>12</x:v>
      </x:c>
      <x:c r="E8" s="9" t="n">
        <x:v>24</x:v>
      </x:c>
      <x:c r="F8" s="9" t="n">
        <x:v>30</x:v>
      </x:c>
      <x:c r="G8" s="9" t="n">
        <x:f>ROUND((C8*D8*E8*F8)/1000,2)</x:f>
        <x:v>8.64</x:v>
      </x:c>
      <x:c r="H8" s="17" t="n">
        <x:f>ROUND(G8*Inputs!$B$5,2)</x:f>
        <x:v>99.36</x:v>
      </x:c>
      <x:c r="I8" t="str">
        <x:v>Always on</x:v>
      </x:c>
    </x:row>
    <x:row r="9" ht="17.08984375" hidden="0" customHeight="1">
      <x:c r="A9" t="str">
        <x:v>Washing Machine</x:v>
      </x:c>
      <x:c r="B9" t="str">
        <x:v>Laundry</x:v>
      </x:c>
      <x:c r="C9" s="9" t="n">
        <x:v>1</x:v>
      </x:c>
      <x:c r="D9" s="9" t="n">
        <x:v>500</x:v>
      </x:c>
      <x:c r="E9" s="9" t="n">
        <x:v>1.5</x:v>
      </x:c>
      <x:c r="F9" s="9" t="n">
        <x:v>12</x:v>
      </x:c>
      <x:c r="G9" s="9" t="n">
        <x:f>ROUND((C9*D9*E9*F9)/1000,2)</x:f>
        <x:v>9</x:v>
      </x:c>
      <x:c r="H9" s="17" t="n">
        <x:f>ROUND(G9*Inputs!$B$5,2)</x:f>
        <x:v>103.5</x:v>
      </x:c>
      <x:c r="I9" t="str">
        <x:v>Weekly use</x:v>
      </x:c>
    </x:row>
    <x:row r="10" ht="17.08984375" hidden="0" customHeight="1">
      <x:c r="A10" t="str">
        <x:v>Microwave</x:v>
      </x:c>
      <x:c r="B10" t="str">
        <x:v>Kitchen</x:v>
      </x:c>
      <x:c r="C10" s="9" t="n">
        <x:v>1</x:v>
      </x:c>
      <x:c r="D10" s="9" t="n">
        <x:v>1100</x:v>
      </x:c>
      <x:c r="E10" s="9" t="n">
        <x:v>0.5</x:v>
      </x:c>
      <x:c r="F10" s="9" t="n">
        <x:v>20</x:v>
      </x:c>
      <x:c r="G10" s="9" t="n">
        <x:f>ROUND((C10*D10*E10*F10)/1000,2)</x:f>
        <x:v>11</x:v>
      </x:c>
      <x:c r="H10" s="17" t="n">
        <x:f>ROUND(G10*Inputs!$B$5,2)</x:f>
        <x:v>126.5</x:v>
      </x:c>
      <x:c r="I10" t="str">
        <x:v>Occasional use</x:v>
      </x:c>
    </x:row>
    <x:row r="11" ht="17.08984375" hidden="0" customHeight="1">
      <x:c r="A11" t="str">
        <x:v>Lighting</x:v>
      </x:c>
      <x:c r="B11" t="str">
        <x:v>Utilities</x:v>
      </x:c>
      <x:c r="C11" s="9" t="n">
        <x:v>8</x:v>
      </x:c>
      <x:c r="D11" s="9" t="n">
        <x:v>12</x:v>
      </x:c>
      <x:c r="E11" s="9" t="n">
        <x:v>6</x:v>
      </x:c>
      <x:c r="F11" s="9" t="n">
        <x:v>30</x:v>
      </x:c>
      <x:c r="G11" s="9" t="n">
        <x:f>ROUND((C11*D11*E11*F11)/1000,2)</x:f>
        <x:v>17.28</x:v>
      </x:c>
      <x:c r="H11" s="17" t="n">
        <x:f>ROUND(G11*Inputs!$B$5,2)</x:f>
        <x:v>198.72</x:v>
      </x:c>
      <x:c r="I11" t="str">
        <x:v>LED bulbs</x:v>
      </x:c>
    </x:row>
  </x:sheetData>
  <x:conditionalFormatting sqref="H2:H11">
    <x:cfRule type="dataBar" priority="1">
      <x:dataBar>
        <x:cfvo type="min"/>
        <x:cfvo type="max"/>
        <x:color rgb="FFA02B93"/>
      </x:dataBar>
    </x:cfRule>
  </x:conditionalFormatting>
  <x:conditionalFormatting sqref="G2:G11">
    <x:cfRule type="colorScale" priority="2">
      <x:colorScale>
        <x:cfvo type="min"/>
        <x:cfvo type="percentile" val="50"/>
        <x:cfvo type="max"/>
        <x:color rgb="E2F0D9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c6ed4e1f38f4b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0.0500000007450580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17.08984375" hidden="0" customHeight="1">
      <x:c r="A1" s="4" t="str">
        <x:v>Household Electricity Consumption Dashboard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16" t="str">
        <x:v>KPI</x:v>
      </x:c>
      <x:c r="B3" s="16" t="str">
        <x:v>Value</x:v>
      </x:c>
      <x:c r="D3" s="16" t="str">
        <x:v>Appliance</x:v>
      </x:c>
      <x:c r="E3" s="16" t="str">
        <x:v>Monthly kWh</x:v>
      </x:c>
      <x:c r="F3" s="16" t="str">
        <x:v>Monthly Cost</x:v>
      </x:c>
    </x:row>
    <x:row r="4" ht="17.08984375" hidden="0" customHeight="1">
      <x:c r="A4" s="21" t="str">
        <x:v>Total Appliances Tracked</x:v>
      </x:c>
      <x:c r="B4" s="25" t="n">
        <x:f>COUNTA('Appliance Data'!A2:A11)</x:f>
        <x:v>10</x:v>
      </x:c>
      <x:c r="D4" t="str">
        <x:f>'Appliance Data'!A2</x:f>
        <x:v>Air Conditioner</x:v>
      </x:c>
      <x:c r="E4" s="9" t="n">
        <x:f>'Appliance Data'!G2</x:f>
        <x:v>288</x:v>
      </x:c>
      <x:c r="F4" s="17" t="n">
        <x:f>'Appliance Data'!H2</x:f>
        <x:v>3312</x:v>
      </x:c>
    </x:row>
    <x:row r="5" ht="17.08984375" hidden="0" customHeight="1">
      <x:c r="A5" s="21" t="str">
        <x:v>Total Monthly kWh</x:v>
      </x:c>
      <x:c r="B5" s="26" t="n">
        <x:f>ROUND(SUM('Appliance Data'!G2:G11),2)</x:f>
        <x:v>571.82</x:v>
      </x:c>
      <x:c r="D5" t="str">
        <x:f>'Appliance Data'!A3</x:f>
        <x:v>Refrigerator</x:v>
      </x:c>
      <x:c r="E5" s="9" t="n">
        <x:f>'Appliance Data'!G3</x:f>
        <x:v>108</x:v>
      </x:c>
      <x:c r="F5" s="17" t="n">
        <x:f>'Appliance Data'!H3</x:f>
        <x:v>1242</x:v>
      </x:c>
    </x:row>
    <x:row r="6" ht="17.08984375" hidden="0" customHeight="1">
      <x:c r="A6" s="21" t="str">
        <x:v>Estimated Monthly Cost</x:v>
      </x:c>
      <x:c r="B6" s="27" t="n">
        <x:f>ROUND(SUM('Appliance Data'!H2:H11),2)</x:f>
        <x:v>6575.93</x:v>
      </x:c>
      <x:c r="D6" t="str">
        <x:f>'Appliance Data'!A4</x:f>
        <x:v>Electric Fan</x:v>
      </x:c>
      <x:c r="E6" s="9" t="n">
        <x:f>'Appliance Data'!G4</x:f>
        <x:v>67.5</x:v>
      </x:c>
      <x:c r="F6" s="17" t="n">
        <x:f>'Appliance Data'!H4</x:f>
        <x:v>776.25</x:v>
      </x:c>
    </x:row>
    <x:row r="7" ht="17.08984375" hidden="0" customHeight="1">
      <x:c r="A7" s="21" t="str">
        <x:v>Highest Cost Appliance</x:v>
      </x:c>
      <x:c r="B7" s="27" t="str">
        <x:f>INDEX('Appliance Data'!A2:A11,MATCH(MAX('Appliance Data'!H2:H11),'Appliance Data'!H2:H11,0))</x:f>
        <x:v>Air Conditioner</x:v>
      </x:c>
      <x:c r="D7" t="str">
        <x:f>'Appliance Data'!A5</x:f>
        <x:v>Rice Cooker</x:v>
      </x:c>
      <x:c r="E7" s="9" t="n">
        <x:f>'Appliance Data'!G5</x:f>
        <x:v>21</x:v>
      </x:c>
      <x:c r="F7" s="17" t="n">
        <x:f>'Appliance Data'!H5</x:f>
        <x:v>241.5</x:v>
      </x:c>
    </x:row>
    <x:row r="8" ht="17.08984375" hidden="0" customHeight="1">
      <x:c r="A8" s="21" t="str">
        <x:v>Highest Cost Amount</x:v>
      </x:c>
      <x:c r="B8" s="27" t="n">
        <x:f>ROUND(MAX('Appliance Data'!H2:H11),2)</x:f>
        <x:v>3312</x:v>
      </x:c>
      <x:c r="D8" t="str">
        <x:f>'Appliance Data'!A6</x:f>
        <x:v>Television</x:v>
      </x:c>
      <x:c r="E8" s="9" t="n">
        <x:f>'Appliance Data'!G6</x:f>
        <x:v>18</x:v>
      </x:c>
      <x:c r="F8" s="17" t="n">
        <x:f>'Appliance Data'!H6</x:f>
        <x:v>207</x:v>
      </x:c>
    </x:row>
    <x:row r="9" ht="17.08984375" hidden="0" customHeight="1">
      <x:c r="D9" t="str">
        <x:f>'Appliance Data'!A7</x:f>
        <x:v>Laptop</x:v>
      </x:c>
      <x:c r="E9" s="9" t="n">
        <x:f>'Appliance Data'!G7</x:f>
        <x:v>23.4</x:v>
      </x:c>
      <x:c r="F9" s="17" t="n">
        <x:f>'Appliance Data'!H7</x:f>
        <x:v>269.1</x:v>
      </x:c>
    </x:row>
    <x:row r="10" ht="17.08984375" hidden="0" customHeight="1">
      <x:c r="A10" s="8" t="str">
        <x:v>Portfolio Talking Points</x:v>
      </x:c>
      <x:c r="B10" t="str"/>
      <x:c r="C10" t="str"/>
      <x:c r="D10" t="str"/>
      <x:c r="E10" s="9" t="n">
        <x:f>'Appliance Data'!G8</x:f>
        <x:v>8.64</x:v>
      </x:c>
      <x:c r="F10" s="17" t="n">
        <x:f>'Appliance Data'!H8</x:f>
        <x:v>99.36</x:v>
      </x:c>
      <x:c r="G10" t="str"/>
      <x:c r="H10" t="str"/>
    </x:row>
    <x:row r="11" ht="17.08984375" hidden="0" customHeight="1">
      <x:c r="A11" s="12" t="str">
        <x:v>• Calculates monthly energy consumption using wattage, quantity, usage hours, and active days.</x:v>
      </x:c>
      <x:c r="B11" s="12" t="str"/>
      <x:c r="C11" s="12" t="str"/>
      <x:c r="D11" s="12" t="str"/>
      <x:c r="E11" s="32" t="n">
        <x:f>'Appliance Data'!G9</x:f>
        <x:v>9</x:v>
      </x:c>
      <x:c r="F11" s="33" t="n">
        <x:f>'Appliance Data'!H9</x:f>
        <x:v>103.5</x:v>
      </x:c>
      <x:c r="G11" s="12" t="str"/>
      <x:c r="H11" s="12" t="str"/>
    </x:row>
    <x:row r="12" ht="17.08984375" hidden="0" customHeight="1">
      <x:c r="A12" s="12" t="str">
        <x:v>• Estimates monthly electricity cost based on a configurable PHP per kWh rate.</x:v>
      </x:c>
      <x:c r="B12" s="12" t="str"/>
      <x:c r="C12" s="12" t="str"/>
      <x:c r="D12" s="12" t="str"/>
      <x:c r="E12" s="32" t="n">
        <x:f>'Appliance Data'!G10</x:f>
        <x:v>11</x:v>
      </x:c>
      <x:c r="F12" s="33" t="n">
        <x:f>'Appliance Data'!H10</x:f>
        <x:v>126.5</x:v>
      </x:c>
      <x:c r="G12" s="12" t="str"/>
      <x:c r="H12" s="12" t="str"/>
    </x:row>
    <x:row r="13" ht="17.08984375" hidden="0" customHeight="1">
      <x:c r="A13" s="12" t="str">
        <x:v>• Summarizes appliance-level energy demand for dashboarding and decision-making.</x:v>
      </x:c>
      <x:c r="B13" s="12" t="str"/>
      <x:c r="C13" s="12" t="str"/>
      <x:c r="D13" s="12" t="str"/>
      <x:c r="E13" s="32" t="n">
        <x:f>'Appliance Data'!G11</x:f>
        <x:v>17.28</x:v>
      </x:c>
      <x:c r="F13" s="33" t="n">
        <x:f>'Appliance Data'!H11</x:f>
        <x:v>198.72</x:v>
      </x:c>
      <x:c r="G13" s="12" t="str"/>
      <x:c r="H13" s="12" t="str"/>
    </x:row>
    <x:row r="15">
      <x:c r="A15" s="16" t="str">
        <x:v>Category</x:v>
      </x:c>
      <x:c r="B15" s="16" t="str">
        <x:v>Monthly kWh</x:v>
      </x:c>
      <x:c r="C15" s="16" t="str">
        <x:v>Monthly Cost</x:v>
      </x:c>
    </x:row>
    <x:row r="16">
      <x:c r="A16" t="str">
        <x:v>Cooling</x:v>
      </x:c>
      <x:c r="B16" s="9" t="n">
        <x:f>ROUND(SUMIF('Appliance Data'!$B$2:$B$11,A16,'Appliance Data'!$G$2:$G$11),2)</x:f>
        <x:v>355.5</x:v>
      </x:c>
      <x:c r="C16" s="17" t="n">
        <x:f>ROUND(SUMIF('Appliance Data'!$B$2:$B$11,A16,'Appliance Data'!$H$2:$H$11),2)</x:f>
        <x:v>4088.25</x:v>
      </x:c>
    </x:row>
    <x:row r="17">
      <x:c r="A17" t="str">
        <x:v>Kitchen</x:v>
      </x:c>
      <x:c r="B17" s="9" t="n">
        <x:f>ROUND(SUMIF('Appliance Data'!$B$2:$B$11,A17,'Appliance Data'!$G$2:$G$11),2)</x:f>
        <x:v>140</x:v>
      </x:c>
      <x:c r="C17" s="17" t="n">
        <x:f>ROUND(SUMIF('Appliance Data'!$B$2:$B$11,A17,'Appliance Data'!$H$2:$H$11),2)</x:f>
        <x:v>1610</x:v>
      </x:c>
    </x:row>
    <x:row r="18">
      <x:c r="A18" t="str">
        <x:v>Entertainment</x:v>
      </x:c>
      <x:c r="B18" s="9" t="n">
        <x:f>ROUND(SUMIF('Appliance Data'!$B$2:$B$11,A18,'Appliance Data'!$G$2:$G$11),2)</x:f>
        <x:v>18</x:v>
      </x:c>
      <x:c r="C18" s="17" t="n">
        <x:f>ROUND(SUMIF('Appliance Data'!$B$2:$B$11,A18,'Appliance Data'!$H$2:$H$11),2)</x:f>
        <x:v>207</x:v>
      </x:c>
    </x:row>
    <x:row r="19">
      <x:c r="A19" t="str">
        <x:v>Work/Study</x:v>
      </x:c>
      <x:c r="B19" s="9" t="n">
        <x:f>ROUND(SUMIF('Appliance Data'!$B$2:$B$11,A19,'Appliance Data'!$G$2:$G$11),2)</x:f>
        <x:v>32.04</x:v>
      </x:c>
      <x:c r="C19" s="17" t="n">
        <x:f>ROUND(SUMIF('Appliance Data'!$B$2:$B$11,A19,'Appliance Data'!$H$2:$H$11),2)</x:f>
        <x:v>368.46</x:v>
      </x:c>
    </x:row>
    <x:row r="20">
      <x:c r="A20" t="str">
        <x:v>Laundry</x:v>
      </x:c>
      <x:c r="B20" s="9" t="n">
        <x:f>ROUND(SUMIF('Appliance Data'!$B$2:$B$11,A20,'Appliance Data'!$G$2:$G$11),2)</x:f>
        <x:v>9</x:v>
      </x:c>
      <x:c r="C20" s="17" t="n">
        <x:f>ROUND(SUMIF('Appliance Data'!$B$2:$B$11,A20,'Appliance Data'!$H$2:$H$11),2)</x:f>
        <x:v>103.5</x:v>
      </x:c>
    </x:row>
    <x:row r="21">
      <x:c r="A21" t="str">
        <x:v>Utilities</x:v>
      </x:c>
      <x:c r="B21" s="9" t="n">
        <x:f>ROUND(SUMIF('Appliance Data'!$B$2:$B$11,A21,'Appliance Data'!$G$2:$G$11),2)</x:f>
        <x:v>17.28</x:v>
      </x:c>
      <x:c r="C21" s="17" t="n">
        <x:f>ROUND(SUMIF('Appliance Data'!$B$2:$B$11,A21,'Appliance Data'!$H$2:$H$11),2)</x:f>
        <x:v>198.72</x:v>
      </x:c>
    </x:row>
    <x:row r="23">
      <x:c r="A23" s="8" t="str">
        <x:v>Suggested Next Upgrade</x:v>
      </x:c>
      <x:c r="B23" t="str"/>
      <x:c r="C23" t="str"/>
      <x:c r="D23" t="str"/>
      <x:c r="E23" t="str"/>
      <x:c r="F23" t="str"/>
      <x:c r="G23" t="str"/>
      <x:c r="H23" t="str"/>
    </x:row>
    <x:row r="24">
      <x:c r="A24" s="12" t="str">
        <x:v>Connect this workbook to Power BI and add slicers for category, appliance, and usage period.</x:v>
      </x:c>
      <x:c r="B24" s="12" t="str"/>
      <x:c r="C24" s="12" t="str"/>
      <x:c r="D24" s="12" t="str"/>
      <x:c r="E24" s="12" t="str"/>
      <x:c r="F24" s="12" t="str"/>
      <x:c r="G24" s="12" t="str"/>
      <x:c r="H24" s="12" t="str"/>
    </x:row>
    <x:row r="25">
      <x:c r="A25" s="12" t="str">
        <x:v>Add a scenario comparison view for normal vs high-usage months.</x:v>
      </x:c>
      <x:c r="B25" s="12" t="str"/>
      <x:c r="C25" s="12" t="str"/>
      <x:c r="D25" s="12" t="str"/>
      <x:c r="E25" s="12" t="str"/>
      <x:c r="F25" s="12" t="str"/>
      <x:c r="G25" s="12" t="str"/>
      <x:c r="H25" s="12" t="str"/>
    </x:row>
    <x:row r="26">
      <x:c r="A26" s="12" t="str">
        <x:v>Use actual Meralco or local electricity rates for a more realistic estimate.</x:v>
      </x:c>
      <x:c r="B26" s="12" t="str"/>
      <x:c r="C26" s="12" t="str"/>
      <x:c r="D26" s="12" t="str"/>
      <x:c r="E26" s="12" t="str"/>
      <x:c r="F26" s="12" t="str"/>
      <x:c r="G26" s="12" t="str"/>
      <x:c r="H26" s="12" t="str"/>
    </x:row>
  </x:sheetData>
  <x:mergeCells>
    <x:mergeCell ref="A1:H1"/>
    <x:mergeCell ref="A10:H10"/>
    <x:mergeCell ref="A11:H11"/>
    <x:mergeCell ref="A12:H12"/>
    <x:mergeCell ref="A13:H13"/>
    <x:mergeCell ref="A23:H23"/>
    <x:mergeCell ref="A24:H24"/>
    <x:mergeCell ref="A25:H25"/>
    <x:mergeCell ref="A26:H26"/>
  </x:mergeCells>
  <x:pageMargins left="0.7" right="0.7" top="0.75" bottom="0.75" header="0.3" footer="0.3"/>
  <x:drawing xmlns:r="http://schemas.openxmlformats.org/officeDocument/2006/relationships" r:id="Rf9afd6ad3ce04db0"/>
</x:worksheet>
</file>